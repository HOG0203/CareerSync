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6320" yWindow="-9165" windowWidth="16440" windowHeight="29040" firstSheet="1" activeTab="1"/>
  </bookViews>
  <sheets>
    <sheet sheetId="4" name="VXXXXX" state="veryHidden" r:id="rId4"/>
    <sheet sheetId="12" name="종목별자격취득 24년 3학년" state="visible" r:id="rId5"/>
  </sheets>
  <calcPr calcId="171027"/>
</workbook>
</file>

<file path=xl/sharedStrings.xml><?xml version="1.0" encoding="utf-8"?>
<sst xmlns="http://schemas.openxmlformats.org/spreadsheetml/2006/main" count="60" uniqueCount="59">
  <si>
    <t>2026학년도 3학년 계열별, 종목별 자격증 취득 현황  (2026년 8월 00일 기준)</t>
  </si>
  <si>
    <t>학과</t>
  </si>
  <si>
    <t>과정원</t>
  </si>
  <si>
    <t>1. 자격증 취득자수</t>
  </si>
  <si>
    <t>2. 종  목  별   자  격  증   취  득   현  황</t>
  </si>
  <si>
    <t xml:space="preserve">합
계</t>
  </si>
  <si>
    <t xml:space="preserve">취득률
(인원
대비)</t>
  </si>
  <si>
    <t xml:space="preserve">취득률
(ITQ
제외)</t>
  </si>
  <si>
    <t xml:space="preserve">취득비율
(자격증 
취득수)</t>
  </si>
  <si>
    <t>1개</t>
  </si>
  <si>
    <t>2개</t>
  </si>
  <si>
    <t xml:space="preserve">3개
이상</t>
  </si>
  <si>
    <t>계</t>
  </si>
  <si>
    <t>컴퓨터응용밀링</t>
  </si>
  <si>
    <t>컴퓨터응용선반</t>
  </si>
  <si>
    <t>컴퓨터그래픽스운용</t>
  </si>
  <si>
    <t>3D프린터운용</t>
  </si>
  <si>
    <t>금형</t>
  </si>
  <si>
    <t>피복아크용접</t>
  </si>
  <si>
    <t>가스텅스텐아크용접</t>
  </si>
  <si>
    <t>이산화탄소가스용접</t>
  </si>
  <si>
    <t>공유압</t>
  </si>
  <si>
    <t>설비보전</t>
  </si>
  <si>
    <t>지게차운전</t>
  </si>
  <si>
    <t>굴삭기</t>
  </si>
  <si>
    <t>자동차정비</t>
  </si>
  <si>
    <t>자동차정비산업기사</t>
  </si>
  <si>
    <t>전기기능사</t>
  </si>
  <si>
    <t>승강기</t>
  </si>
  <si>
    <t>교통안전관리자</t>
  </si>
  <si>
    <t>철도전기신호</t>
  </si>
  <si>
    <t>정보처리기능사</t>
  </si>
  <si>
    <t>전산응용토목제도</t>
  </si>
  <si>
    <t>건설재료시험</t>
  </si>
  <si>
    <t>측량</t>
  </si>
  <si>
    <t>지적</t>
  </si>
  <si>
    <t>기중기운전기능사</t>
  </si>
  <si>
    <t>콘크리트</t>
  </si>
  <si>
    <t>초경량비행장치조종자</t>
  </si>
  <si>
    <t>가구제작</t>
  </si>
  <si>
    <t>건축도장</t>
  </si>
  <si>
    <t>목공예</t>
  </si>
  <si>
    <t>전산응용건축제도</t>
  </si>
  <si>
    <t>건축목공산업기사</t>
  </si>
  <si>
    <t>화학분석</t>
  </si>
  <si>
    <t>환경</t>
  </si>
  <si>
    <t>위험물</t>
  </si>
  <si>
    <t>염색</t>
  </si>
  <si>
    <t>가스기능사</t>
  </si>
  <si>
    <t>양식조리기능사</t>
  </si>
  <si>
    <t>일식조리기능사</t>
  </si>
  <si>
    <t>중식조리기능사</t>
  </si>
  <si>
    <t>한식조리기능사</t>
  </si>
  <si>
    <t>화훼장식기능사</t>
  </si>
  <si>
    <t>자동화설비기능사</t>
  </si>
  <si>
    <t>자동화설비산업기사</t>
  </si>
  <si>
    <t>바이오화학과</t>
  </si>
  <si>
    <t>자격증 취득율</t>
  </si>
  <si>
    <t>자격증 취득비율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</si>
</sst>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20"/>
      <name val="돋움"/>
    </font>
    <font>
      <charset val="129"/>
      <family val="3"/>
      <sz val="9"/>
      <name val="굴림"/>
    </font>
    <font>
      <b/>
      <charset val="129"/>
      <family val="3"/>
      <sz val="10"/>
      <name val="굴림"/>
    </font>
    <font>
      <b/>
      <charset val="129"/>
      <family val="3"/>
      <sz val="12"/>
      <name val="돋움"/>
    </font>
    <font>
      <charset val="129"/>
      <family val="3"/>
      <sz val="12"/>
      <name val="돋움"/>
    </font>
  </fonts>
  <fills count="9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top" wrapText="1" textRotation="255"/>
    </xf>
    <xf numFmtId="0" fontId="4" fillId="0" borderId="14" xfId="0" applyFont="1" applyBorder="1" applyAlignment="1">
      <alignment horizontal="center" vertical="top" wrapText="1" textRotation="255"/>
    </xf>
    <xf numFmtId="0" fontId="4" fillId="4" borderId="14" xfId="0" applyFont="1" applyFill="1" applyBorder="1" applyAlignment="1">
      <alignment horizontal="center" vertical="top" wrapText="1" textRotation="255"/>
    </xf>
    <xf numFmtId="0" fontId="4" fillId="3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2" fontId="4" fillId="0" borderId="27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0" fontId="3" fillId="4" borderId="0" xfId="0" applyFont="1" applyFill="1"/>
    <xf numFmtId="0" fontId="4" fillId="3" borderId="28" xfId="0" applyFont="1" applyFill="1" applyBorder="1" applyAlignment="1">
      <alignment horizontal="center" vertical="center"/>
    </xf>
    <xf numFmtId="1" fontId="4" fillId="2" borderId="25" xfId="0" applyNumberFormat="1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1" fontId="4" fillId="2" borderId="14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 wrapText="1"/>
    </xf>
    <xf numFmtId="2" fontId="4" fillId="0" borderId="32" xfId="0" applyNumberFormat="1" applyFont="1" applyBorder="1" applyAlignment="1">
      <alignment horizontal="center" vertical="center"/>
    </xf>
    <xf numFmtId="2" fontId="4" fillId="0" borderId="33" xfId="0" applyNumberFormat="1" applyFont="1" applyBorder="1" applyAlignment="1">
      <alignment horizontal="center" vertical="center"/>
    </xf>
    <xf numFmtId="2" fontId="4" fillId="0" borderId="34" xfId="0" applyNumberFormat="1" applyFont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2" fontId="4" fillId="7" borderId="37" xfId="0" applyNumberFormat="1" applyFont="1" applyFill="1" applyBorder="1" applyAlignment="1">
      <alignment horizontal="center" vertical="center"/>
    </xf>
    <xf numFmtId="2" fontId="4" fillId="8" borderId="38" xfId="0" applyNumberFormat="1" applyFont="1" applyFill="1" applyBorder="1" applyAlignment="1">
      <alignment horizontal="center" vertical="center"/>
    </xf>
    <xf numFmtId="2" fontId="4" fillId="7" borderId="39" xfId="0" applyNumberFormat="1" applyFont="1" applyFill="1" applyBorder="1" applyAlignment="1">
      <alignment horizontal="center" vertical="center"/>
    </xf>
    <xf numFmtId="2" fontId="1" fillId="0" borderId="0" xfId="0" applyNumberFormat="1" applyFont="1"/>
    <xf numFmtId="0" fontId="5" fillId="7" borderId="40" xfId="0" applyFont="1" applyFill="1" applyBorder="1" applyAlignment="1">
      <alignment vertical="center"/>
    </xf>
    <xf numFmtId="0" fontId="6" fillId="7" borderId="5" xfId="0" applyFont="1" applyFill="1" applyBorder="1" applyAlignment="1">
      <alignment vertical="center"/>
    </xf>
    <xf numFmtId="0" fontId="6" fillId="7" borderId="41" xfId="0" applyFont="1" applyFill="1" applyBorder="1" applyAlignment="1">
      <alignment vertical="center"/>
    </xf>
    <xf numFmtId="2" fontId="5" fillId="7" borderId="40" xfId="0" applyNumberFormat="1" applyFont="1" applyFill="1" applyBorder="1" applyAlignment="1">
      <alignment horizontal="center" vertical="center"/>
    </xf>
    <xf numFmtId="2" fontId="5" fillId="7" borderId="5" xfId="0" applyNumberFormat="1" applyFont="1" applyFill="1" applyBorder="1" applyAlignment="1">
      <alignment horizontal="center" vertical="center"/>
    </xf>
    <xf numFmtId="2" fontId="5" fillId="7" borderId="41" xfId="0" applyNumberFormat="1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vertical="center"/>
    </xf>
    <xf numFmtId="0" fontId="5" fillId="2" borderId="43" xfId="0" applyFont="1" applyFill="1" applyBorder="1" applyAlignment="1">
      <alignment vertical="center"/>
    </xf>
    <xf numFmtId="0" fontId="5" fillId="2" borderId="44" xfId="0" applyFont="1" applyFill="1" applyBorder="1" applyAlignment="1">
      <alignment vertical="center"/>
    </xf>
    <xf numFmtId="2" fontId="5" fillId="2" borderId="42" xfId="0" applyNumberFormat="1" applyFont="1" applyFill="1" applyBorder="1" applyAlignment="1">
      <alignment horizontal="center" vertical="center"/>
    </xf>
    <xf numFmtId="2" fontId="5" fillId="2" borderId="43" xfId="0" applyNumberFormat="1" applyFont="1" applyFill="1" applyBorder="1" applyAlignment="1">
      <alignment horizontal="center" vertical="center"/>
    </xf>
    <xf numFmtId="2" fontId="5" fillId="2" borderId="4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3.5" outlineLevelRow="0" outlineLevelCol="0" x14ac:dyDescent="0.15" customHeight="1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0"/>
  <sheetViews>
    <sheetView workbookViewId="0" zoomScale="89" zoomScaleNormal="89">
      <pane ySplit="3" topLeftCell="A4" activePane="bottomLeft" state="frozen"/>
      <selection pane="bottomLeft" activeCell="AW1" sqref="AW1"/>
    </sheetView>
  </sheetViews>
  <sheetFormatPr defaultRowHeight="13.5" outlineLevelRow="0" outlineLevelCol="0" x14ac:dyDescent="0.15" customHeight="1"/>
  <cols>
    <col min="1" max="1" width="11.77734375" style="1" customWidth="1"/>
    <col min="2" max="49" width="3.6640625" style="1" customWidth="1"/>
    <col min="50" max="50" width="3.88671875" style="1" customWidth="1"/>
    <col min="51" max="51" width="10.5546875" style="1" customWidth="1"/>
    <col min="52" max="52" width="6.6640625" style="1" hidden="1" customWidth="1"/>
    <col min="53" max="53" width="6.5546875" style="1" customWidth="1"/>
    <col min="54" max="16384" width="8.88671875" style="1" customWidth="1"/>
  </cols>
  <sheetData>
    <row r="1" ht="54" customHeight="1" spans="1:5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ht="28.5" customHeight="1" spans="1:53" s="3" customFormat="1" x14ac:dyDescent="0.25">
      <c r="A2" s="4" t="s">
        <v>1</v>
      </c>
      <c r="B2" s="5" t="s">
        <v>2</v>
      </c>
      <c r="C2" s="6" t="s">
        <v>3</v>
      </c>
      <c r="D2" s="7"/>
      <c r="E2" s="7"/>
      <c r="F2" s="8"/>
      <c r="G2" s="9" t="s">
        <v>4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10"/>
      <c r="AX2" s="11" t="s">
        <v>5</v>
      </c>
      <c r="AY2" s="12" t="s">
        <v>6</v>
      </c>
      <c r="AZ2" s="12" t="s">
        <v>7</v>
      </c>
      <c r="BA2" s="13" t="s">
        <v>8</v>
      </c>
    </row>
    <row r="3" ht="120" customHeight="1" spans="1:53" s="3" customFormat="1" x14ac:dyDescent="0.25">
      <c r="A3" s="14"/>
      <c r="B3" s="15"/>
      <c r="C3" s="16" t="s">
        <v>9</v>
      </c>
      <c r="D3" s="16" t="s">
        <v>10</v>
      </c>
      <c r="E3" s="17" t="s">
        <v>11</v>
      </c>
      <c r="F3" s="18" t="s">
        <v>12</v>
      </c>
      <c r="G3" s="19" t="s">
        <v>13</v>
      </c>
      <c r="H3" s="20" t="s">
        <v>14</v>
      </c>
      <c r="I3" s="20" t="s">
        <v>15</v>
      </c>
      <c r="J3" s="20" t="s">
        <v>16</v>
      </c>
      <c r="K3" s="20" t="s">
        <v>17</v>
      </c>
      <c r="L3" s="20" t="s">
        <v>18</v>
      </c>
      <c r="M3" s="20" t="s">
        <v>19</v>
      </c>
      <c r="N3" s="20" t="s">
        <v>20</v>
      </c>
      <c r="O3" s="20" t="s">
        <v>21</v>
      </c>
      <c r="P3" s="20" t="s">
        <v>22</v>
      </c>
      <c r="Q3" s="20" t="s">
        <v>23</v>
      </c>
      <c r="R3" s="20" t="s">
        <v>24</v>
      </c>
      <c r="S3" s="20" t="s">
        <v>25</v>
      </c>
      <c r="T3" s="20" t="s">
        <v>26</v>
      </c>
      <c r="U3" s="20" t="s">
        <v>27</v>
      </c>
      <c r="V3" s="20" t="s">
        <v>28</v>
      </c>
      <c r="W3" s="20" t="s">
        <v>29</v>
      </c>
      <c r="X3" s="20" t="s">
        <v>30</v>
      </c>
      <c r="Y3" s="20" t="s">
        <v>31</v>
      </c>
      <c r="Z3" s="20" t="s">
        <v>32</v>
      </c>
      <c r="AA3" s="20" t="s">
        <v>33</v>
      </c>
      <c r="AB3" s="20" t="s">
        <v>34</v>
      </c>
      <c r="AC3" s="20" t="s">
        <v>35</v>
      </c>
      <c r="AD3" s="20" t="s">
        <v>36</v>
      </c>
      <c r="AE3" s="20" t="s">
        <v>37</v>
      </c>
      <c r="AF3" s="20" t="s">
        <v>38</v>
      </c>
      <c r="AG3" s="20" t="s">
        <v>39</v>
      </c>
      <c r="AH3" s="20" t="s">
        <v>40</v>
      </c>
      <c r="AI3" s="20" t="s">
        <v>41</v>
      </c>
      <c r="AJ3" s="20" t="s">
        <v>42</v>
      </c>
      <c r="AK3" s="20" t="s">
        <v>43</v>
      </c>
      <c r="AL3" s="20" t="s">
        <v>44</v>
      </c>
      <c r="AM3" s="21" t="s">
        <v>45</v>
      </c>
      <c r="AN3" s="21" t="s">
        <v>46</v>
      </c>
      <c r="AO3" s="21" t="s">
        <v>47</v>
      </c>
      <c r="AP3" s="21" t="s">
        <v>48</v>
      </c>
      <c r="AQ3" s="21" t="s">
        <v>49</v>
      </c>
      <c r="AR3" s="21" t="s">
        <v>50</v>
      </c>
      <c r="AS3" s="21" t="s">
        <v>51</v>
      </c>
      <c r="AT3" s="21" t="s">
        <v>52</v>
      </c>
      <c r="AU3" s="21" t="s">
        <v>53</v>
      </c>
      <c r="AV3" s="21" t="s">
        <v>54</v>
      </c>
      <c r="AW3" s="21" t="s">
        <v>55</v>
      </c>
      <c r="AX3" s="22"/>
      <c r="AY3" s="23"/>
      <c r="AZ3" s="23"/>
      <c r="BA3" s="24"/>
    </row>
    <row r="4" ht="46.5" customHeight="1" spans="1:53" s="3" customFormat="1" x14ac:dyDescent="0.25">
      <c r="A4" s="25"/>
      <c r="B4" s="26"/>
      <c r="C4" s="27"/>
      <c r="D4" s="27"/>
      <c r="E4" s="28"/>
      <c r="F4" s="29"/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2">
        <f t="shared" ref="AX4:AX10" si="0">SUM(G4:AU4)</f>
        <v>0</v>
      </c>
      <c r="AY4" s="33" t="e">
        <f t="shared" ref="AY4:AY11" si="1">F4/B4*100</f>
        <v>#DIV/0!</v>
      </c>
      <c r="AZ4" s="33">
        <v>40.27</v>
      </c>
      <c r="BA4" s="34" t="e">
        <f t="shared" ref="BA4:BA11" si="2">AX4/B4*100</f>
        <v>#DIV/0!</v>
      </c>
    </row>
    <row r="5" ht="46.5" customHeight="1" spans="1:53" s="3" customFormat="1" x14ac:dyDescent="0.25">
      <c r="A5" s="35"/>
      <c r="B5" s="36"/>
      <c r="C5" s="27"/>
      <c r="D5" s="27"/>
      <c r="E5" s="28"/>
      <c r="F5" s="29"/>
      <c r="G5" s="3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2">
        <f t="shared" si="0"/>
        <v>0</v>
      </c>
      <c r="AY5" s="33" t="e">
        <f t="shared" si="1"/>
        <v>#DIV/0!</v>
      </c>
      <c r="AZ5" s="37">
        <v>86.67</v>
      </c>
      <c r="BA5" s="34" t="e">
        <f t="shared" si="2"/>
        <v>#DIV/0!</v>
      </c>
    </row>
    <row r="6" ht="46.5" customHeight="1" spans="1:53" s="3" customFormat="1" x14ac:dyDescent="0.25">
      <c r="A6" s="38"/>
      <c r="B6" s="36"/>
      <c r="C6" s="27"/>
      <c r="D6" s="27"/>
      <c r="E6" s="28"/>
      <c r="F6" s="29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2">
        <f t="shared" si="0"/>
        <v>0</v>
      </c>
      <c r="AY6" s="33" t="e">
        <f t="shared" si="1"/>
        <v>#DIV/0!</v>
      </c>
      <c r="AZ6" s="39">
        <v>80.43</v>
      </c>
      <c r="BA6" s="34" t="e">
        <f t="shared" si="2"/>
        <v>#DIV/0!</v>
      </c>
    </row>
    <row r="7" ht="46.5" customHeight="1" spans="1:53" s="3" customFormat="1" x14ac:dyDescent="0.25">
      <c r="A7" s="35"/>
      <c r="B7" s="36"/>
      <c r="C7" s="27"/>
      <c r="D7" s="27"/>
      <c r="E7" s="28"/>
      <c r="F7" s="29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2">
        <f t="shared" si="0"/>
        <v>0</v>
      </c>
      <c r="AY7" s="33" t="e">
        <f t="shared" si="1"/>
        <v>#DIV/0!</v>
      </c>
      <c r="AZ7" s="39">
        <v>72.72</v>
      </c>
      <c r="BA7" s="34" t="e">
        <f t="shared" si="2"/>
        <v>#DIV/0!</v>
      </c>
    </row>
    <row r="8" ht="46.5" customHeight="1" spans="1:53" s="40" customFormat="1" x14ac:dyDescent="0.25">
      <c r="A8" s="25" t="s">
        <v>56</v>
      </c>
      <c r="B8" s="36">
        <v>44</v>
      </c>
      <c r="C8" s="27">
        <v>29</v>
      </c>
      <c r="D8" s="27">
        <v>8</v>
      </c>
      <c r="E8" s="28">
        <v>6</v>
      </c>
      <c r="F8" s="29">
        <f>SUM(C8:E8)</f>
        <v>43</v>
      </c>
      <c r="G8" s="30"/>
      <c r="H8" s="31"/>
      <c r="I8" s="31"/>
      <c r="J8" s="31"/>
      <c r="K8" s="31"/>
      <c r="L8" s="31"/>
      <c r="M8" s="31"/>
      <c r="N8" s="31"/>
      <c r="O8" s="31"/>
      <c r="P8" s="31"/>
      <c r="Q8" s="31">
        <v>3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>
        <v>43</v>
      </c>
      <c r="AM8" s="31">
        <v>14</v>
      </c>
      <c r="AN8" s="31">
        <v>5</v>
      </c>
      <c r="AO8" s="31"/>
      <c r="AP8" s="31">
        <v>1</v>
      </c>
      <c r="AQ8" s="31"/>
      <c r="AR8" s="31"/>
      <c r="AS8" s="31"/>
      <c r="AT8" s="31"/>
      <c r="AU8" s="31"/>
      <c r="AV8" s="31"/>
      <c r="AW8" s="31"/>
      <c r="AX8" s="32">
        <f t="shared" si="0"/>
        <v>66</v>
      </c>
      <c r="AY8" s="33">
        <f t="shared" si="1"/>
        <v>97.72727272727273</v>
      </c>
      <c r="AZ8" s="37">
        <v>71.74</v>
      </c>
      <c r="BA8" s="34">
        <f t="shared" si="2"/>
        <v>150</v>
      </c>
    </row>
    <row r="9" ht="46.5" customHeight="1" spans="1:53" s="3" customFormat="1" x14ac:dyDescent="0.25">
      <c r="A9" s="41"/>
      <c r="B9" s="36"/>
      <c r="C9" s="42"/>
      <c r="D9" s="42"/>
      <c r="E9" s="42"/>
      <c r="F9" s="43"/>
      <c r="G9" s="44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32">
        <f t="shared" si="0"/>
        <v>0</v>
      </c>
      <c r="AY9" s="33" t="e">
        <f t="shared" si="1"/>
        <v>#DIV/0!</v>
      </c>
      <c r="AZ9" s="37">
        <v>95.65</v>
      </c>
      <c r="BA9" s="34" t="e">
        <f t="shared" si="2"/>
        <v>#DIV/0!</v>
      </c>
    </row>
    <row r="10" ht="46.5" customHeight="1" spans="1:53" s="3" customFormat="1" x14ac:dyDescent="0.25">
      <c r="A10" s="46"/>
      <c r="B10" s="47"/>
      <c r="C10" s="48"/>
      <c r="D10" s="48"/>
      <c r="E10" s="48"/>
      <c r="F10" s="43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50">
        <f t="shared" si="0"/>
        <v>0</v>
      </c>
      <c r="AY10" s="51" t="e">
        <f t="shared" si="1"/>
        <v>#DIV/0!</v>
      </c>
      <c r="AZ10" s="52">
        <v>86.36</v>
      </c>
      <c r="BA10" s="53" t="e">
        <f t="shared" si="2"/>
        <v>#DIV/0!</v>
      </c>
    </row>
    <row r="11" ht="48.75" customHeight="1" spans="1:53" s="3" customFormat="1" x14ac:dyDescent="0.25">
      <c r="A11" s="54" t="s">
        <v>12</v>
      </c>
      <c r="B11" s="55">
        <f>SUM(B4:B10)</f>
        <v>44</v>
      </c>
      <c r="C11" s="55">
        <f t="shared" ref="C11:AX11" si="3">SUM(C4:C10)</f>
        <v>29</v>
      </c>
      <c r="D11" s="55">
        <f t="shared" si="3"/>
        <v>8</v>
      </c>
      <c r="E11" s="55">
        <f t="shared" si="3"/>
        <v>6</v>
      </c>
      <c r="F11" s="55">
        <f t="shared" si="3"/>
        <v>43</v>
      </c>
      <c r="G11" s="55">
        <f t="shared" si="3"/>
        <v>0</v>
      </c>
      <c r="H11" s="55">
        <f t="shared" si="3"/>
        <v>0</v>
      </c>
      <c r="I11" s="55"/>
      <c r="J11" s="55"/>
      <c r="K11" s="55">
        <f t="shared" si="3"/>
        <v>0</v>
      </c>
      <c r="L11" s="55">
        <f t="shared" si="3"/>
        <v>0</v>
      </c>
      <c r="M11" s="55"/>
      <c r="N11" s="55"/>
      <c r="O11" s="55">
        <f t="shared" si="3"/>
        <v>0</v>
      </c>
      <c r="P11" s="55">
        <f t="shared" si="3"/>
        <v>0</v>
      </c>
      <c r="Q11" s="55"/>
      <c r="R11" s="55"/>
      <c r="S11" s="55">
        <f t="shared" si="3"/>
        <v>0</v>
      </c>
      <c r="T11" s="55"/>
      <c r="U11" s="55">
        <f t="shared" si="3"/>
        <v>0</v>
      </c>
      <c r="V11" s="55">
        <f t="shared" si="3"/>
        <v>0</v>
      </c>
      <c r="W11" s="55"/>
      <c r="X11" s="55">
        <f t="shared" si="3"/>
        <v>0</v>
      </c>
      <c r="Y11" s="55"/>
      <c r="Z11" s="55">
        <f t="shared" si="3"/>
        <v>0</v>
      </c>
      <c r="AA11" s="55">
        <f t="shared" si="3"/>
        <v>0</v>
      </c>
      <c r="AB11" s="55">
        <f t="shared" si="3"/>
        <v>0</v>
      </c>
      <c r="AC11" s="55"/>
      <c r="AD11" s="55"/>
      <c r="AE11" s="55">
        <f t="shared" si="3"/>
        <v>0</v>
      </c>
      <c r="AF11" s="55"/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43</v>
      </c>
      <c r="AM11" s="55">
        <f t="shared" si="3"/>
        <v>14</v>
      </c>
      <c r="AN11" s="55"/>
      <c r="AO11" s="55">
        <f t="shared" si="3"/>
        <v>0</v>
      </c>
      <c r="AP11" s="55"/>
      <c r="AQ11" s="55"/>
      <c r="AR11" s="55"/>
      <c r="AS11" s="55"/>
      <c r="AT11" s="55"/>
      <c r="AU11" s="55"/>
      <c r="AV11" s="55"/>
      <c r="AW11" s="55"/>
      <c r="AX11" s="55">
        <f t="shared" si="3"/>
        <v>66</v>
      </c>
      <c r="AY11" s="56">
        <f t="shared" si="1"/>
        <v>97.72727272727273</v>
      </c>
      <c r="AZ11" s="57">
        <v>67.46</v>
      </c>
      <c r="BA11" s="58">
        <f t="shared" si="2"/>
        <v>150</v>
      </c>
    </row>
    <row r="12" ht="14.25" customHeight="1" spans="52:52" x14ac:dyDescent="0.25">
      <c r="AZ12" s="59"/>
    </row>
    <row r="13" ht="33.75" customHeight="1" spans="21:38" x14ac:dyDescent="0.25">
      <c r="U13" s="60" t="s">
        <v>57</v>
      </c>
      <c r="V13" s="61"/>
      <c r="W13" s="61"/>
      <c r="X13" s="61"/>
      <c r="Y13" s="61"/>
      <c r="Z13" s="61"/>
      <c r="AA13" s="62"/>
      <c r="AB13" s="63">
        <f>AY11</f>
        <v>97.72727272727273</v>
      </c>
      <c r="AC13" s="64"/>
      <c r="AD13" s="64"/>
      <c r="AE13" s="64"/>
      <c r="AF13" s="64"/>
      <c r="AG13" s="64"/>
      <c r="AH13" s="64"/>
      <c r="AI13" s="64"/>
      <c r="AJ13" s="64"/>
      <c r="AK13" s="64"/>
      <c r="AL13" s="65"/>
    </row>
    <row r="14" ht="33.75" customHeight="1" spans="21:49" x14ac:dyDescent="0.25">
      <c r="U14" s="66" t="s">
        <v>58</v>
      </c>
      <c r="V14" s="67"/>
      <c r="W14" s="67"/>
      <c r="X14" s="67"/>
      <c r="Y14" s="67"/>
      <c r="Z14" s="67"/>
      <c r="AA14" s="68"/>
      <c r="AB14" s="69">
        <f>BA11</f>
        <v>150</v>
      </c>
      <c r="AC14" s="70"/>
      <c r="AD14" s="70"/>
      <c r="AE14" s="70"/>
      <c r="AF14" s="70"/>
      <c r="AG14" s="70"/>
      <c r="AH14" s="70"/>
      <c r="AI14" s="70"/>
      <c r="AJ14" s="70"/>
      <c r="AK14" s="70"/>
      <c r="AL14" s="71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</row>
    <row r="15" ht="21" customHeight="1" x14ac:dyDescent="0.25"/>
    <row r="16" ht="21" customHeight="1" x14ac:dyDescent="0.25"/>
    <row r="17" ht="21" customHeight="1" x14ac:dyDescent="0.25"/>
    <row r="18" ht="21" customHeight="1" x14ac:dyDescent="0.25"/>
    <row r="19" ht="21" customHeight="1" x14ac:dyDescent="0.25"/>
    <row r="20" ht="21" customHeight="1" x14ac:dyDescent="0.25"/>
  </sheetData>
  <mergeCells count="11">
    <mergeCell ref="A1:BA1"/>
    <mergeCell ref="C2:F2"/>
    <mergeCell ref="G2:AW2"/>
    <mergeCell ref="A2:A3"/>
    <mergeCell ref="B2:B3"/>
    <mergeCell ref="AX2:AX3"/>
    <mergeCell ref="AY2:AY3"/>
    <mergeCell ref="AZ2:AZ3"/>
    <mergeCell ref="BA2:BA3"/>
    <mergeCell ref="AB13:AL13"/>
    <mergeCell ref="AB14:AL14"/>
  </mergeCells>
  <printOptions horizontalCentered="1"/>
  <pageMargins left="0.35433070866141736" right="0.35433070866141736" top="0.31496062992125984" bottom="0.1968503937007874" header="0" footer="0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VXXXXX</vt:lpstr>
      <vt:lpstr>종목별자격취득 24년 3학년</vt:lpstr>
    </vt:vector>
  </TitlesOfParts>
  <Company>과학기술과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대구시교육청</dc:creator>
  <cp:lastModifiedBy>이호중</cp:lastModifiedBy>
  <cp:lastPrinted>2023-12-23T02:21:29Z</cp:lastPrinted>
  <dcterms:created xsi:type="dcterms:W3CDTF">1999-02-04T05:46:56Z</dcterms:created>
  <dcterms:modified xsi:type="dcterms:W3CDTF">2026-07-10T08:23:19Z</dcterms:modified>
</cp:coreProperties>
</file>